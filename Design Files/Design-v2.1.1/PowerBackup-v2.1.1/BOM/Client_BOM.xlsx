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issamsmaali-powerbackupcircuit\Design Files\Design-v2.1.1\PowerBackup-v2.1.1\BOM\"/>
    </mc:Choice>
  </mc:AlternateContent>
  <bookViews>
    <workbookView xWindow="0" yWindow="0" windowWidth="19635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2" i="1" l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<sst xmlns="http://schemas.openxmlformats.org/spreadsheetml/2006/main" count="495" uniqueCount="327">
  <si>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</si>
  <si>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</si>
  <si>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</si>
  <si>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</si>
  <si>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</si>
  <si>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</si>
  <si>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</si>
  <si>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</si>
  <si>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</si>
  <si>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Remarks</t>
  </si>
  <si>
    <t>Capacitors</t>
  </si>
  <si>
    <t>C1</t>
  </si>
  <si>
    <t>CAP ALUM POLY 68UF 20% 50V SMD</t>
  </si>
  <si>
    <t>50SVPF68M</t>
  </si>
  <si>
    <t>Panasonic</t>
  </si>
  <si>
    <t>68uF</t>
  </si>
  <si>
    <t>C2, C6, C7, C8, C9, C11, C14, C17, C19, C20, C21, C22, C23, C24</t>
  </si>
  <si>
    <t>CAPACITOR 0603 CERAMIC</t>
  </si>
  <si>
    <t>0603C-TBD</t>
  </si>
  <si>
    <t>CL10F104ZO8NNNC</t>
  </si>
  <si>
    <t>Samsung</t>
  </si>
  <si>
    <t>0.1uF/16V</t>
  </si>
  <si>
    <t>C3, C4</t>
  </si>
  <si>
    <t>CAP TANT 10UF 10% 10V 1206  (3216)</t>
  </si>
  <si>
    <t>C-3216(TANTAL) - INV</t>
  </si>
  <si>
    <t>TAJA106K006RNJ</t>
  </si>
  <si>
    <t>Kyocera AVX</t>
  </si>
  <si>
    <t>10uF/10V</t>
  </si>
  <si>
    <t>C5</t>
  </si>
  <si>
    <t>Polarized Capacitor  1uF/16V TANTAL 0805</t>
  </si>
  <si>
    <t>C-2012 - TANT</t>
  </si>
  <si>
    <t>F921C105MPA</t>
  </si>
  <si>
    <t>1uF/6.3v</t>
  </si>
  <si>
    <t>C10, C38</t>
  </si>
  <si>
    <t>Capacitor 1uF 6.3V X5R 10% SMD 0603</t>
  </si>
  <si>
    <t>CL10A105KQ8NNNC</t>
  </si>
  <si>
    <t>C12, C13</t>
  </si>
  <si>
    <t>Tantalum Capacitors - Solid SMD 10V 22uF 20%  3216 -1206</t>
  </si>
  <si>
    <t>C-3216(TANTAL)</t>
  </si>
  <si>
    <t>TAJA226M010RNJ</t>
  </si>
  <si>
    <t>22uF/10V</t>
  </si>
  <si>
    <t>C15, C43, C44, C46</t>
  </si>
  <si>
    <t>Multilayer Ceramic Capacitor, 0.1 uF, 16 V, -20, +80%, Y5V, 0603 [1608 Metric]</t>
  </si>
  <si>
    <t>Cap-0603</t>
  </si>
  <si>
    <t>0.1uF</t>
  </si>
  <si>
    <t>C16, C18</t>
  </si>
  <si>
    <t>Capacitor 20p 50v 0603</t>
  </si>
  <si>
    <t>CL10C200JB8NNNC</t>
  </si>
  <si>
    <t>20pF</t>
  </si>
  <si>
    <t>C25, C37</t>
  </si>
  <si>
    <t>TAJA106K010RNJ</t>
  </si>
  <si>
    <t>C26, C31, C34</t>
  </si>
  <si>
    <t>Multilayer Ceramic Capacitors MLCC - SMD/SMT 16V 0.01uF 0603 X8R 5%</t>
  </si>
  <si>
    <t>C-1608</t>
  </si>
  <si>
    <t>C0603X103J4HACTU</t>
  </si>
  <si>
    <t>KEMET</t>
  </si>
  <si>
    <t>10nF</t>
  </si>
  <si>
    <t>C27, C30</t>
  </si>
  <si>
    <t>6800pF ±10% 200V Ceramic Capacitor X7R 0603 (1608 Metric)</t>
  </si>
  <si>
    <t>C0603C682K2RECAUTO</t>
  </si>
  <si>
    <t>6.8.nF</t>
  </si>
  <si>
    <t>C28, C29</t>
  </si>
  <si>
    <t>18pF ±5% 50V Ceramic Capacitor C0G, NP0 0603 (1608 Metric)</t>
  </si>
  <si>
    <t>CL10C180JB8NNNC</t>
  </si>
  <si>
    <t>18pF</t>
  </si>
  <si>
    <t>C32</t>
  </si>
  <si>
    <t>1000pF ±10% 1000V (1kV) Ceramic Capacitor X7R 0805 (2012 Metric)</t>
  </si>
  <si>
    <t>C-2012</t>
  </si>
  <si>
    <t>C0805C102KDRACAUTO</t>
  </si>
  <si>
    <t>1nF/2kV</t>
  </si>
  <si>
    <t>C33</t>
  </si>
  <si>
    <t>CAP CER 4,7UF 10V X5R 0603</t>
  </si>
  <si>
    <t>4.7uF</t>
  </si>
  <si>
    <t>C35, C36</t>
  </si>
  <si>
    <t>CAPACITOR 0603 CERAMIC  9p 50V</t>
  </si>
  <si>
    <t>CGA3E2NP01H090D080AA</t>
  </si>
  <si>
    <t>TDK</t>
  </si>
  <si>
    <t>9p</t>
  </si>
  <si>
    <t>C39, C47</t>
  </si>
  <si>
    <t>CAP TANT 10UF 10% 10V 1206</t>
  </si>
  <si>
    <t>Case-A</t>
  </si>
  <si>
    <t>10uF</t>
  </si>
  <si>
    <t>C40</t>
  </si>
  <si>
    <t>CAP CER 2.2UF 16V X7R 0805</t>
  </si>
  <si>
    <t>Cap-0805</t>
  </si>
  <si>
    <t>EMK212B7225KGHT</t>
  </si>
  <si>
    <t>Taiyo Yuden</t>
  </si>
  <si>
    <t>2.2uF</t>
  </si>
  <si>
    <t>C41, C42</t>
  </si>
  <si>
    <t>CAP CER 100UF 16V X5R 1210</t>
  </si>
  <si>
    <t>Cap-1210</t>
  </si>
  <si>
    <t>EMK325ABJ107MM-P</t>
  </si>
  <si>
    <t>100uF</t>
  </si>
  <si>
    <t>C45, C49</t>
  </si>
  <si>
    <t>CAPACITOR 25F -10%, +30% 2.7V TH</t>
  </si>
  <si>
    <t>DGH256Q2R7</t>
  </si>
  <si>
    <t>CDE Illinois Capacitor</t>
  </si>
  <si>
    <t>25F</t>
  </si>
  <si>
    <t>C48</t>
  </si>
  <si>
    <t>CAP CER 1000PF 25V X7R 0402</t>
  </si>
  <si>
    <t>Cap-0402</t>
  </si>
  <si>
    <t>CC0402KRX7R8BB102</t>
  </si>
  <si>
    <t>Yageo</t>
  </si>
  <si>
    <t>1nF</t>
  </si>
  <si>
    <t>Header</t>
  </si>
  <si>
    <t>J1, J3</t>
  </si>
  <si>
    <t>Socket Strip, Cuttable, Double Row, 0.050"x0.050" Pitch</t>
  </si>
  <si>
    <t>SFMC-102-X1-XX-D</t>
  </si>
  <si>
    <t>SAMTEC</t>
  </si>
  <si>
    <t>-</t>
  </si>
  <si>
    <t>J2</t>
  </si>
  <si>
    <t>SFMC-104-X1-XX-D</t>
  </si>
  <si>
    <t>Inductor</t>
  </si>
  <si>
    <t>L1</t>
  </si>
  <si>
    <t>FIXED IND 1.5UH 625MA 150 MOHM</t>
  </si>
  <si>
    <t>L-1608</t>
  </si>
  <si>
    <t>GLFR1608T1R5M-LR</t>
  </si>
  <si>
    <t>L2</t>
  </si>
  <si>
    <t>FERRITE BEAD 30 OHM 0603 1LN</t>
  </si>
  <si>
    <t>MPZ1608S300ATAH0</t>
  </si>
  <si>
    <t>30 OHM</t>
  </si>
  <si>
    <t>L3</t>
  </si>
  <si>
    <t>9.5A 2.2uH ±20% 16A SMD,7.15x6.6x5mm Power Inductors ROHS</t>
  </si>
  <si>
    <t>MS0650-2R2M-C</t>
  </si>
  <si>
    <t>COILMX</t>
  </si>
  <si>
    <t>2.2uH</t>
  </si>
  <si>
    <t>LED1</t>
  </si>
  <si>
    <t>LED RED CLEAR 2SMD 1.95V, 5mA</t>
  </si>
  <si>
    <t>LED-1608</t>
  </si>
  <si>
    <t>19-217/R6C-AL1M2VY/3T</t>
  </si>
  <si>
    <t>Everlight</t>
  </si>
  <si>
    <t>POWER</t>
  </si>
  <si>
    <t>LED</t>
  </si>
  <si>
    <t>LED2, LED3</t>
  </si>
  <si>
    <t>yellow 0603 Light Emitting Diodes (LED) ROHS</t>
  </si>
  <si>
    <t>LED-0603</t>
  </si>
  <si>
    <t>NCD0603Y2</t>
  </si>
  <si>
    <t>Foshan NationStar Optoelectronics</t>
  </si>
  <si>
    <t>Yellow</t>
  </si>
  <si>
    <t>LED4</t>
  </si>
  <si>
    <t>RED LED 0603 Light Emitting Diodes</t>
  </si>
  <si>
    <t>NCD0603R3</t>
  </si>
  <si>
    <t>RED</t>
  </si>
  <si>
    <t>P1</t>
  </si>
  <si>
    <t>CONN HDR 6POS 0.05 STACK T/H Dual row</t>
  </si>
  <si>
    <t>3x2A 1.27 Double Samtec</t>
  </si>
  <si>
    <t>FW-03-04-L-D-200-100</t>
  </si>
  <si>
    <t>Samtec</t>
  </si>
  <si>
    <t>P2</t>
  </si>
  <si>
    <t>CONN HDR 4POS 0.05 STACK T/H Dual row</t>
  </si>
  <si>
    <t>2x2A 1.27 Double Samtec</t>
  </si>
  <si>
    <t>FW-02-04-L-D-200-100</t>
  </si>
  <si>
    <t>P3</t>
  </si>
  <si>
    <t>CONN MAGJACK 1PORT 100 BASE-T</t>
  </si>
  <si>
    <t>WIZnet_RB1-125BAG1A_0</t>
  </si>
  <si>
    <t>RB1-125BAG1A</t>
  </si>
  <si>
    <t>WIZnet</t>
  </si>
  <si>
    <t>P4</t>
  </si>
  <si>
    <t>Connector Header Through Hole 4 position 0.098" (2.50mm)</t>
  </si>
  <si>
    <t>CON_2078430004_MOL</t>
  </si>
  <si>
    <t>207843-0004</t>
  </si>
  <si>
    <t>Molex</t>
  </si>
  <si>
    <t>MOSFETs</t>
  </si>
  <si>
    <t>Q1</t>
  </si>
  <si>
    <t>MOSFET N-CH 60V 115MA SOT23-3</t>
  </si>
  <si>
    <t>SOT23</t>
  </si>
  <si>
    <t>Q2, Q3</t>
  </si>
  <si>
    <t>MOSFET N-CH 40V 40A PPAK1212-8</t>
  </si>
  <si>
    <t>PowerPAK® 1212-8</t>
  </si>
  <si>
    <t>SIS488DN-T1-GE3</t>
  </si>
  <si>
    <t>Vishay Semiconductors</t>
  </si>
  <si>
    <t>Resistor</t>
  </si>
  <si>
    <t>R1</t>
  </si>
  <si>
    <t>0 Ohms Jumper 0.1W, 1/10W Chip Resistor 0603 (1608 Metric) Moisture Resistant Thick Film</t>
  </si>
  <si>
    <t>R-1608</t>
  </si>
  <si>
    <t>RC0603JR-070RL</t>
  </si>
  <si>
    <t>0R</t>
  </si>
  <si>
    <t>R2</t>
  </si>
  <si>
    <t>RES SMD 22K OHM 0.5% 1/16W 0603</t>
  </si>
  <si>
    <t>RR0816P-223-D</t>
  </si>
  <si>
    <t>Susumu</t>
  </si>
  <si>
    <t>22K</t>
  </si>
  <si>
    <t>R3</t>
  </si>
  <si>
    <t>Gen Purp Chip, R0603 0.1W 5%</t>
  </si>
  <si>
    <t>CRGCQ0603J330R</t>
  </si>
  <si>
    <t>TE Connectivity</t>
  </si>
  <si>
    <t>330R</t>
  </si>
  <si>
    <t>R4, R6, R32, R33</t>
  </si>
  <si>
    <t>RES SMD 100K OHM 1% 1/4W 0603</t>
  </si>
  <si>
    <t>RCA0603100KFKEAHP</t>
  </si>
  <si>
    <t>Vishay Dale</t>
  </si>
  <si>
    <t>100K</t>
  </si>
  <si>
    <t>R5</t>
  </si>
  <si>
    <t>RES SMD 715K OHM 1% 1/10W 0603</t>
  </si>
  <si>
    <t>RC0603FR-07402KL</t>
  </si>
  <si>
    <t>402K</t>
  </si>
  <si>
    <t>R7, R8, R9, R10, R11, R12, R13, R14, R15, R16, R17, R21, R27</t>
  </si>
  <si>
    <t>RES SMD 10K OHM 0.5% 1/16W 0603</t>
  </si>
  <si>
    <t>RR0816P-103-D</t>
  </si>
  <si>
    <t>10K</t>
  </si>
  <si>
    <t>R18, R19, R24, R25</t>
  </si>
  <si>
    <t>RES SMD 49.9 OHM 1% 1/10W 0603</t>
  </si>
  <si>
    <t>RC0603FR-0749R9L</t>
  </si>
  <si>
    <t>49R9 1%</t>
  </si>
  <si>
    <t>R20</t>
  </si>
  <si>
    <t>RES SMD 10 OHM 1% 1/10W 0603</t>
  </si>
  <si>
    <t>RC0603FR-0710RL</t>
  </si>
  <si>
    <t>10R 1%</t>
  </si>
  <si>
    <t>R22</t>
  </si>
  <si>
    <t>Resistor CRGCQ 0603 1M0 5%</t>
  </si>
  <si>
    <t>CRGCQ0603J1M0</t>
  </si>
  <si>
    <t>1M</t>
  </si>
  <si>
    <t>R23</t>
  </si>
  <si>
    <t>RESISTOR 0603 12.4K 1%</t>
  </si>
  <si>
    <t>12.4K 1%</t>
  </si>
  <si>
    <t>R26, R28</t>
  </si>
  <si>
    <t>330 Ohms ±5% 0.1W, 1/10W Chip Resistor 0603</t>
  </si>
  <si>
    <t>R29</t>
  </si>
  <si>
    <t>220 Ohms ±1% 0.1W, 1/10W Chip Resistor 0603 (1608 Metric) Moisture Resistant Thick Film</t>
  </si>
  <si>
    <t>RC0603FR-07220RL</t>
  </si>
  <si>
    <t>R30</t>
  </si>
  <si>
    <t>Current Sense Resistors - SMD 1/3W 0.01ohm 1%</t>
  </si>
  <si>
    <t>RES-0306</t>
  </si>
  <si>
    <t>PRL0816-R010-F-T1</t>
  </si>
  <si>
    <t>10mR</t>
  </si>
  <si>
    <t>R31</t>
  </si>
  <si>
    <t>RES SMD 113K OHM 0.1% 1/10W 0603</t>
  </si>
  <si>
    <t>Res-0603</t>
  </si>
  <si>
    <t>RT0603BRE07113KL</t>
  </si>
  <si>
    <t>113K</t>
  </si>
  <si>
    <t>R34</t>
  </si>
  <si>
    <t>RES 100 OHM 5% 1/10W 0603</t>
  </si>
  <si>
    <t>RMCF0603JT100R</t>
  </si>
  <si>
    <t>Stackpole Electronics</t>
  </si>
  <si>
    <t>100R</t>
  </si>
  <si>
    <t>R35</t>
  </si>
  <si>
    <t>RES 4.7K OHM 5% 1/10W 0603</t>
  </si>
  <si>
    <t>RMCF0603JT4K70</t>
  </si>
  <si>
    <t>4K7</t>
  </si>
  <si>
    <t>R36</t>
  </si>
  <si>
    <t>RES 6.2K OHM 1% 1/16W 0402</t>
  </si>
  <si>
    <t>Res-0402</t>
  </si>
  <si>
    <t>RC0402FR-076K2L</t>
  </si>
  <si>
    <t>6.2K</t>
  </si>
  <si>
    <t>R37</t>
  </si>
  <si>
    <t>RES SMD 38.3KOHM 0.1% 1/10W 0603</t>
  </si>
  <si>
    <t>RT0603BRD0738K3L</t>
  </si>
  <si>
    <t>38.3K</t>
  </si>
  <si>
    <t>R38, R44</t>
  </si>
  <si>
    <t>RES 1.05 MOHM 1% 1/8W 0805</t>
  </si>
  <si>
    <t>RES-0805</t>
  </si>
  <si>
    <t>AC0805FR-071M05L</t>
  </si>
  <si>
    <t>1.05MR</t>
  </si>
  <si>
    <t>R39, R45, R47, R49</t>
  </si>
  <si>
    <t>RES 0 OHM JUMPER 1/16W 0402</t>
  </si>
  <si>
    <t>RC0402FR-070RL</t>
  </si>
  <si>
    <t>R40, R41, R42</t>
  </si>
  <si>
    <t>RES 1.5K OHM 1% 1/16W 0402</t>
  </si>
  <si>
    <t>RC0402FR-071K5L</t>
  </si>
  <si>
    <t>1.5K</t>
  </si>
  <si>
    <t>R43</t>
  </si>
  <si>
    <t>RES SMD 200K OHM 0.1% 1/8W 0805</t>
  </si>
  <si>
    <t>RT0805BRD07200KL</t>
  </si>
  <si>
    <t>200K</t>
  </si>
  <si>
    <t>R46</t>
  </si>
  <si>
    <t>RES SMD 1.5M Ohm 1% 0.1W(1/10W)  0603</t>
  </si>
  <si>
    <t>RC0603FR-071M5L</t>
  </si>
  <si>
    <t>1M5</t>
  </si>
  <si>
    <t>R48</t>
  </si>
  <si>
    <t>RES 261K OHM 1% 1/16W 0402</t>
  </si>
  <si>
    <t>RC0402FR-07261KL</t>
  </si>
  <si>
    <t>261K</t>
  </si>
  <si>
    <t>R50</t>
  </si>
  <si>
    <t>RES 2.49K OHM 1% 1/16W 0402</t>
  </si>
  <si>
    <t>RC0402FR-072K49L</t>
  </si>
  <si>
    <t>2.49K</t>
  </si>
  <si>
    <t>R51</t>
  </si>
  <si>
    <t>DNP</t>
  </si>
  <si>
    <t>USB</t>
  </si>
  <si>
    <t>SWD1</t>
  </si>
  <si>
    <t>CONN RCPT MICRO USB AB R/A SMD</t>
  </si>
  <si>
    <t>MOLEX_0475890001</t>
  </si>
  <si>
    <t>47589-0001</t>
  </si>
  <si>
    <t>IC</t>
  </si>
  <si>
    <t>U1</t>
  </si>
  <si>
    <t>Voltage Regulator; LDO; SOT-23; PD 369.6mW; VO 3.3V; Regline +/-0.75%/V</t>
  </si>
  <si>
    <t>MCP1700T-3302E/TT</t>
  </si>
  <si>
    <t>Microchip</t>
  </si>
  <si>
    <t>U2</t>
  </si>
  <si>
    <t>High performance 2A ULDO linear regulator</t>
  </si>
  <si>
    <t>SOIC127P600X175-8N</t>
  </si>
  <si>
    <t>RT9025-25GSP</t>
  </si>
  <si>
    <t>Richtek</t>
  </si>
  <si>
    <t>U3</t>
  </si>
  <si>
    <t>Ethernet Controller 10/100 Base-T/TX PHY SPI Interface</t>
  </si>
  <si>
    <t>W5500</t>
  </si>
  <si>
    <t>U4</t>
  </si>
  <si>
    <t>IC MCU 32BIT 512KB FLASH 64LQFP</t>
  </si>
  <si>
    <t>STM-LQFP64_V</t>
  </si>
  <si>
    <t>STM32L151RET6</t>
  </si>
  <si>
    <t>STMicroelectronics</t>
  </si>
  <si>
    <t>U5</t>
  </si>
  <si>
    <t>EEPROM Memory IC 2Mb _256K x 8_ SPI 5MHz 8-SO</t>
  </si>
  <si>
    <t>SOIC8-1.27-5X4MM</t>
  </si>
  <si>
    <t>M95M02-DWMN3TP/K</t>
  </si>
  <si>
    <t>U6</t>
  </si>
  <si>
    <t>IC BATT PWR MGMT MULTI 1C 24QFN</t>
  </si>
  <si>
    <t>24-QFN (4x5)</t>
  </si>
  <si>
    <t>LTC4041EUFD#PBF</t>
  </si>
  <si>
    <t>Analog Devices / Linear Technology</t>
  </si>
  <si>
    <t>Crystal</t>
  </si>
  <si>
    <t>X1</t>
  </si>
  <si>
    <t>8MHz ±30ppm Crystal 20pF 80 Ohms HC-49/US</t>
  </si>
  <si>
    <t>XTAL_HC49P488W43L1150T466H350</t>
  </si>
  <si>
    <t>FC4STCBMF8.0-BAG200</t>
  </si>
  <si>
    <t>Fox Electronics</t>
  </si>
  <si>
    <t>8MHz</t>
  </si>
  <si>
    <t>Y1</t>
  </si>
  <si>
    <t>CRYSTAL 25.0000MHZ 8PF SMD</t>
  </si>
  <si>
    <t>XTAL3225</t>
  </si>
  <si>
    <t>CX3225CA25000D0HSSCC</t>
  </si>
  <si>
    <t>25MHz</t>
  </si>
  <si>
    <t>Y2</t>
  </si>
  <si>
    <t>ABS25 Series 32.768 kHz Â±20 ppm 6 pF -40 to +85 Â°C SMT Low Frequency Crystal</t>
  </si>
  <si>
    <t>XTAL_CM8V-T1A-32.768KHZ-9PF-20PPM-TA-QC</t>
  </si>
  <si>
    <t>CM8V-T1A 32.768kHz 9pF +/-20ppm TA QC</t>
  </si>
  <si>
    <t>Micro 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</si>
</sst>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0"/>
      <color indexed="13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2"/>
  <sheetViews>
    <sheetView tabSelected="1" topLeftCell="A55" workbookViewId="0">
      <selection activeCell="K48" sqref="K48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36" customWidth="1"/>
    <col min="5" max="5" width="30" customWidth="1"/>
    <col min="6" max="6" width="26.5703125" customWidth="1"/>
    <col min="7" max="7" width="33.42578125" customWidth="1"/>
    <col min="8" max="8" width="21.42578125" customWidth="1"/>
    <col min="9" max="9" width="17.85546875" customWidth="1"/>
    <col min="10" max="10" width="16.7109375" customWidth="1"/>
    <col min="11" max="11" width="29.42578125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15"/>
      <c r="J1" s="15"/>
      <c r="K1" s="15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 t="shared" ref="B3:B34" si="0"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13</v>
      </c>
      <c r="H3" s="9" t="s">
        <v>14</v>
      </c>
      <c r="I3" s="10" t="s">
        <v>15</v>
      </c>
      <c r="J3" s="9">
        <v>1</v>
      </c>
      <c r="K3" s="9"/>
    </row>
    <row r="4" spans="1:11" ht="24">
      <c r="A4" s="2"/>
      <c r="B4" s="7">
        <f t="shared" si="0"/>
        <v>2</v>
      </c>
      <c r="C4" s="8" t="s">
        <v>10</v>
      </c>
      <c r="D4" s="11" t="s">
        <v>16</v>
      </c>
      <c r="E4" s="12" t="s">
        <v>17</v>
      </c>
      <c r="F4" s="11" t="s">
        <v>18</v>
      </c>
      <c r="G4" s="12" t="s">
        <v>19</v>
      </c>
      <c r="H4" s="11" t="s">
        <v>20</v>
      </c>
      <c r="I4" s="12" t="s">
        <v>21</v>
      </c>
      <c r="J4" s="11">
        <v>14</v>
      </c>
      <c r="K4" s="11"/>
    </row>
    <row r="5" spans="1:11">
      <c r="A5" s="2"/>
      <c r="B5" s="7">
        <f t="shared" si="0"/>
        <v>3</v>
      </c>
      <c r="C5" s="8" t="s">
        <v>10</v>
      </c>
      <c r="D5" s="9" t="s">
        <v>22</v>
      </c>
      <c r="E5" s="10" t="s">
        <v>23</v>
      </c>
      <c r="F5" s="9" t="s">
        <v>24</v>
      </c>
      <c r="G5" s="10" t="s">
        <v>25</v>
      </c>
      <c r="H5" s="9" t="s">
        <v>26</v>
      </c>
      <c r="I5" s="10" t="s">
        <v>27</v>
      </c>
      <c r="J5" s="9">
        <v>2</v>
      </c>
      <c r="K5" s="9"/>
    </row>
    <row r="6" spans="1:11" ht="24">
      <c r="A6" s="2"/>
      <c r="B6" s="7">
        <f t="shared" si="0"/>
        <v>4</v>
      </c>
      <c r="C6" s="8" t="s">
        <v>10</v>
      </c>
      <c r="D6" s="11" t="s">
        <v>28</v>
      </c>
      <c r="E6" s="12" t="s">
        <v>29</v>
      </c>
      <c r="F6" s="11" t="s">
        <v>30</v>
      </c>
      <c r="G6" s="12" t="s">
        <v>31</v>
      </c>
      <c r="H6" s="11" t="s">
        <v>26</v>
      </c>
      <c r="I6" s="12" t="s">
        <v>32</v>
      </c>
      <c r="J6" s="11">
        <v>1</v>
      </c>
      <c r="K6" s="11"/>
    </row>
    <row r="7" spans="1:11">
      <c r="A7" s="2"/>
      <c r="B7" s="7">
        <f t="shared" si="0"/>
        <v>5</v>
      </c>
      <c r="C7" s="8" t="s">
        <v>10</v>
      </c>
      <c r="D7" s="9" t="s">
        <v>33</v>
      </c>
      <c r="E7" s="10" t="s">
        <v>34</v>
      </c>
      <c r="F7" s="9" t="s">
        <v>18</v>
      </c>
      <c r="G7" s="10" t="s">
        <v>35</v>
      </c>
      <c r="H7" s="9" t="s">
        <v>20</v>
      </c>
      <c r="I7" s="10" t="s">
        <v>32</v>
      </c>
      <c r="J7" s="9">
        <v>2</v>
      </c>
      <c r="K7" s="9"/>
    </row>
    <row r="8" spans="1:11" ht="24">
      <c r="A8" s="2"/>
      <c r="B8" s="7">
        <f t="shared" si="0"/>
        <v>6</v>
      </c>
      <c r="C8" s="8" t="s">
        <v>10</v>
      </c>
      <c r="D8" s="11" t="s">
        <v>36</v>
      </c>
      <c r="E8" s="12" t="s">
        <v>37</v>
      </c>
      <c r="F8" s="11" t="s">
        <v>38</v>
      </c>
      <c r="G8" s="12" t="s">
        <v>39</v>
      </c>
      <c r="H8" s="11" t="s">
        <v>26</v>
      </c>
      <c r="I8" s="12" t="s">
        <v>40</v>
      </c>
      <c r="J8" s="11">
        <v>2</v>
      </c>
      <c r="K8" s="11"/>
    </row>
    <row r="9" spans="1:11" ht="36">
      <c r="A9" s="2"/>
      <c r="B9" s="7">
        <f t="shared" si="0"/>
        <v>7</v>
      </c>
      <c r="C9" s="8" t="s">
        <v>10</v>
      </c>
      <c r="D9" s="9" t="s">
        <v>41</v>
      </c>
      <c r="E9" s="10" t="s">
        <v>42</v>
      </c>
      <c r="F9" s="9" t="s">
        <v>43</v>
      </c>
      <c r="G9" s="10" t="s">
        <v>19</v>
      </c>
      <c r="H9" s="9" t="s">
        <v>20</v>
      </c>
      <c r="I9" s="10" t="s">
        <v>44</v>
      </c>
      <c r="J9" s="9">
        <v>4</v>
      </c>
      <c r="K9" s="9"/>
    </row>
    <row r="10" spans="1:11">
      <c r="A10" s="2"/>
      <c r="B10" s="7">
        <f t="shared" si="0"/>
        <v>8</v>
      </c>
      <c r="C10" s="8" t="s">
        <v>10</v>
      </c>
      <c r="D10" s="11" t="s">
        <v>45</v>
      </c>
      <c r="E10" s="12" t="s">
        <v>46</v>
      </c>
      <c r="F10" s="11" t="s">
        <v>18</v>
      </c>
      <c r="G10" s="12" t="s">
        <v>47</v>
      </c>
      <c r="H10" s="11" t="s">
        <v>20</v>
      </c>
      <c r="I10" s="12" t="s">
        <v>48</v>
      </c>
      <c r="J10" s="11">
        <v>2</v>
      </c>
      <c r="K10" s="11"/>
    </row>
    <row r="11" spans="1:11">
      <c r="A11" s="2"/>
      <c r="B11" s="7">
        <f t="shared" si="0"/>
        <v>9</v>
      </c>
      <c r="C11" s="8" t="s">
        <v>10</v>
      </c>
      <c r="D11" s="9" t="s">
        <v>49</v>
      </c>
      <c r="E11" s="10" t="s">
        <v>23</v>
      </c>
      <c r="F11" s="9" t="s">
        <v>38</v>
      </c>
      <c r="G11" s="10" t="s">
        <v>50</v>
      </c>
      <c r="H11" s="9" t="s">
        <v>26</v>
      </c>
      <c r="I11" s="10" t="s">
        <v>27</v>
      </c>
      <c r="J11" s="9">
        <v>2</v>
      </c>
      <c r="K11" s="9"/>
    </row>
    <row r="12" spans="1:11" ht="24">
      <c r="A12" s="2"/>
      <c r="B12" s="7">
        <f t="shared" si="0"/>
        <v>10</v>
      </c>
      <c r="C12" s="8" t="s">
        <v>10</v>
      </c>
      <c r="D12" s="11" t="s">
        <v>51</v>
      </c>
      <c r="E12" s="12" t="s">
        <v>52</v>
      </c>
      <c r="F12" s="11" t="s">
        <v>53</v>
      </c>
      <c r="G12" s="12" t="s">
        <v>54</v>
      </c>
      <c r="H12" s="11" t="s">
        <v>55</v>
      </c>
      <c r="I12" s="12" t="s">
        <v>56</v>
      </c>
      <c r="J12" s="11">
        <v>3</v>
      </c>
      <c r="K12" s="11"/>
    </row>
    <row r="13" spans="1:11" ht="24">
      <c r="A13" s="2"/>
      <c r="B13" s="7">
        <f t="shared" si="0"/>
        <v>11</v>
      </c>
      <c r="C13" s="8" t="s">
        <v>10</v>
      </c>
      <c r="D13" s="9" t="s">
        <v>57</v>
      </c>
      <c r="E13" s="10" t="s">
        <v>58</v>
      </c>
      <c r="F13" s="9" t="s">
        <v>53</v>
      </c>
      <c r="G13" s="10" t="s">
        <v>59</v>
      </c>
      <c r="H13" s="9" t="s">
        <v>55</v>
      </c>
      <c r="I13" s="10" t="s">
        <v>60</v>
      </c>
      <c r="J13" s="9">
        <v>2</v>
      </c>
      <c r="K13" s="9"/>
    </row>
    <row r="14" spans="1:11" ht="24">
      <c r="A14" s="2"/>
      <c r="B14" s="7">
        <f t="shared" si="0"/>
        <v>12</v>
      </c>
      <c r="C14" s="8" t="s">
        <v>10</v>
      </c>
      <c r="D14" s="11" t="s">
        <v>61</v>
      </c>
      <c r="E14" s="12" t="s">
        <v>62</v>
      </c>
      <c r="F14" s="11" t="s">
        <v>53</v>
      </c>
      <c r="G14" s="12" t="s">
        <v>63</v>
      </c>
      <c r="H14" s="11" t="s">
        <v>20</v>
      </c>
      <c r="I14" s="12" t="s">
        <v>64</v>
      </c>
      <c r="J14" s="11">
        <v>2</v>
      </c>
      <c r="K14" s="11"/>
    </row>
    <row r="15" spans="1:11" ht="24">
      <c r="A15" s="2"/>
      <c r="B15" s="7">
        <f t="shared" si="0"/>
        <v>13</v>
      </c>
      <c r="C15" s="8" t="s">
        <v>10</v>
      </c>
      <c r="D15" s="9" t="s">
        <v>65</v>
      </c>
      <c r="E15" s="10" t="s">
        <v>66</v>
      </c>
      <c r="F15" s="9" t="s">
        <v>67</v>
      </c>
      <c r="G15" s="10" t="s">
        <v>68</v>
      </c>
      <c r="H15" s="9" t="s">
        <v>55</v>
      </c>
      <c r="I15" s="10" t="s">
        <v>69</v>
      </c>
      <c r="J15" s="9">
        <v>1</v>
      </c>
      <c r="K15" s="9"/>
    </row>
    <row r="16" spans="1:11">
      <c r="A16" s="2"/>
      <c r="B16" s="7">
        <f t="shared" si="0"/>
        <v>14</v>
      </c>
      <c r="C16" s="8" t="s">
        <v>10</v>
      </c>
      <c r="D16" s="11" t="s">
        <v>70</v>
      </c>
      <c r="E16" s="12" t="s">
        <v>71</v>
      </c>
      <c r="F16" s="11" t="s">
        <v>18</v>
      </c>
      <c r="G16" s="12"/>
      <c r="H16" s="11"/>
      <c r="I16" s="12" t="s">
        <v>72</v>
      </c>
      <c r="J16" s="11">
        <v>1</v>
      </c>
      <c r="K16" s="11"/>
    </row>
    <row r="17" spans="1:11">
      <c r="A17" s="2"/>
      <c r="B17" s="7">
        <f t="shared" si="0"/>
        <v>15</v>
      </c>
      <c r="C17" s="8" t="s">
        <v>10</v>
      </c>
      <c r="D17" s="9" t="s">
        <v>73</v>
      </c>
      <c r="E17" s="10" t="s">
        <v>74</v>
      </c>
      <c r="F17" s="9" t="s">
        <v>18</v>
      </c>
      <c r="G17" s="10" t="s">
        <v>75</v>
      </c>
      <c r="H17" s="9" t="s">
        <v>76</v>
      </c>
      <c r="I17" s="10" t="s">
        <v>77</v>
      </c>
      <c r="J17" s="9">
        <v>2</v>
      </c>
      <c r="K17" s="9"/>
    </row>
    <row r="18" spans="1:11">
      <c r="A18" s="2"/>
      <c r="B18" s="7">
        <f t="shared" si="0"/>
        <v>16</v>
      </c>
      <c r="C18" s="8" t="s">
        <v>10</v>
      </c>
      <c r="D18" s="11" t="s">
        <v>78</v>
      </c>
      <c r="E18" s="12" t="s">
        <v>79</v>
      </c>
      <c r="F18" s="11" t="s">
        <v>80</v>
      </c>
      <c r="G18" s="12" t="s">
        <v>50</v>
      </c>
      <c r="H18" s="11" t="s">
        <v>26</v>
      </c>
      <c r="I18" s="12" t="s">
        <v>81</v>
      </c>
      <c r="J18" s="11">
        <v>2</v>
      </c>
      <c r="K18" s="11"/>
    </row>
    <row r="19" spans="1:11">
      <c r="A19" s="2"/>
      <c r="B19" s="7">
        <f t="shared" si="0"/>
        <v>17</v>
      </c>
      <c r="C19" s="8" t="s">
        <v>10</v>
      </c>
      <c r="D19" s="9" t="s">
        <v>82</v>
      </c>
      <c r="E19" s="10" t="s">
        <v>83</v>
      </c>
      <c r="F19" s="9" t="s">
        <v>84</v>
      </c>
      <c r="G19" s="10" t="s">
        <v>85</v>
      </c>
      <c r="H19" s="9" t="s">
        <v>86</v>
      </c>
      <c r="I19" s="10" t="s">
        <v>87</v>
      </c>
      <c r="J19" s="9">
        <v>1</v>
      </c>
      <c r="K19" s="9"/>
    </row>
    <row r="20" spans="1:11">
      <c r="A20" s="2"/>
      <c r="B20" s="7">
        <f t="shared" si="0"/>
        <v>18</v>
      </c>
      <c r="C20" s="8" t="s">
        <v>10</v>
      </c>
      <c r="D20" s="11" t="s">
        <v>88</v>
      </c>
      <c r="E20" s="12" t="s">
        <v>89</v>
      </c>
      <c r="F20" s="11" t="s">
        <v>90</v>
      </c>
      <c r="G20" s="12" t="s">
        <v>91</v>
      </c>
      <c r="H20" s="11" t="s">
        <v>86</v>
      </c>
      <c r="I20" s="12" t="s">
        <v>92</v>
      </c>
      <c r="J20" s="11">
        <v>2</v>
      </c>
      <c r="K20" s="11"/>
    </row>
    <row r="21" spans="1:11">
      <c r="A21" s="2"/>
      <c r="B21" s="7">
        <f t="shared" si="0"/>
        <v>19</v>
      </c>
      <c r="C21" s="8" t="s">
        <v>10</v>
      </c>
      <c r="D21" s="9" t="s">
        <v>93</v>
      </c>
      <c r="E21" s="10" t="s">
        <v>94</v>
      </c>
      <c r="F21" s="9" t="s">
        <v>95</v>
      </c>
      <c r="G21" s="10" t="s">
        <v>95</v>
      </c>
      <c r="H21" s="9" t="s">
        <v>96</v>
      </c>
      <c r="I21" s="10" t="s">
        <v>97</v>
      </c>
      <c r="J21" s="9">
        <v>2</v>
      </c>
      <c r="K21" s="9"/>
    </row>
    <row r="22" spans="1:11">
      <c r="A22" s="2"/>
      <c r="B22" s="7">
        <f t="shared" si="0"/>
        <v>20</v>
      </c>
      <c r="C22" s="8" t="s">
        <v>10</v>
      </c>
      <c r="D22" s="11" t="s">
        <v>98</v>
      </c>
      <c r="E22" s="12" t="s">
        <v>99</v>
      </c>
      <c r="F22" s="11" t="s">
        <v>100</v>
      </c>
      <c r="G22" s="12" t="s">
        <v>101</v>
      </c>
      <c r="H22" s="11" t="s">
        <v>102</v>
      </c>
      <c r="I22" s="12" t="s">
        <v>103</v>
      </c>
      <c r="J22" s="11">
        <v>1</v>
      </c>
      <c r="K22" s="11"/>
    </row>
    <row r="23" spans="1:11" ht="24">
      <c r="A23" s="2"/>
      <c r="B23" s="7">
        <f t="shared" si="0"/>
        <v>21</v>
      </c>
      <c r="C23" s="8" t="s">
        <v>104</v>
      </c>
      <c r="D23" s="9" t="s">
        <v>105</v>
      </c>
      <c r="E23" s="10" t="s">
        <v>106</v>
      </c>
      <c r="F23" s="9" t="s">
        <v>107</v>
      </c>
      <c r="G23" s="9" t="s">
        <v>107</v>
      </c>
      <c r="H23" s="9" t="s">
        <v>108</v>
      </c>
      <c r="I23" s="10" t="s">
        <v>109</v>
      </c>
      <c r="J23" s="9">
        <v>2</v>
      </c>
      <c r="K23" s="9"/>
    </row>
    <row r="24" spans="1:11" ht="24">
      <c r="A24" s="2"/>
      <c r="B24" s="7">
        <f t="shared" si="0"/>
        <v>22</v>
      </c>
      <c r="C24" s="8" t="s">
        <v>104</v>
      </c>
      <c r="D24" s="11" t="s">
        <v>110</v>
      </c>
      <c r="E24" s="12" t="s">
        <v>106</v>
      </c>
      <c r="F24" s="11" t="s">
        <v>111</v>
      </c>
      <c r="G24" s="12" t="s">
        <v>111</v>
      </c>
      <c r="H24" s="11" t="s">
        <v>108</v>
      </c>
      <c r="I24" s="10" t="s">
        <v>109</v>
      </c>
      <c r="J24" s="11">
        <v>1</v>
      </c>
      <c r="K24" s="11"/>
    </row>
    <row r="25" spans="1:11">
      <c r="A25" s="2"/>
      <c r="B25" s="7">
        <f t="shared" si="0"/>
        <v>23</v>
      </c>
      <c r="C25" s="8" t="s">
        <v>112</v>
      </c>
      <c r="D25" s="9" t="s">
        <v>113</v>
      </c>
      <c r="E25" s="10" t="s">
        <v>114</v>
      </c>
      <c r="F25" s="9" t="s">
        <v>115</v>
      </c>
      <c r="G25" s="10" t="s">
        <v>116</v>
      </c>
      <c r="H25" s="9" t="s">
        <v>76</v>
      </c>
      <c r="I25" s="10" t="s">
        <v>109</v>
      </c>
      <c r="J25" s="9">
        <v>1</v>
      </c>
      <c r="K25" s="9"/>
    </row>
    <row r="26" spans="1:11">
      <c r="A26" s="2"/>
      <c r="B26" s="7">
        <f t="shared" si="0"/>
        <v>24</v>
      </c>
      <c r="C26" s="8" t="s">
        <v>112</v>
      </c>
      <c r="D26" s="11" t="s">
        <v>117</v>
      </c>
      <c r="E26" s="12" t="s">
        <v>118</v>
      </c>
      <c r="F26" s="11" t="s">
        <v>18</v>
      </c>
      <c r="G26" s="12" t="s">
        <v>119</v>
      </c>
      <c r="H26" s="11" t="s">
        <v>76</v>
      </c>
      <c r="I26" s="12" t="s">
        <v>120</v>
      </c>
      <c r="J26" s="11">
        <v>1</v>
      </c>
      <c r="K26" s="11"/>
    </row>
    <row r="27" spans="1:11" ht="36">
      <c r="A27" s="2"/>
      <c r="B27" s="7">
        <f t="shared" si="0"/>
        <v>25</v>
      </c>
      <c r="C27" s="8" t="s">
        <v>112</v>
      </c>
      <c r="D27" s="9" t="s">
        <v>121</v>
      </c>
      <c r="E27" s="10" t="s">
        <v>122</v>
      </c>
      <c r="F27" s="9" t="s">
        <v>123</v>
      </c>
      <c r="G27" s="10" t="s">
        <v>123</v>
      </c>
      <c r="H27" s="9" t="s">
        <v>124</v>
      </c>
      <c r="I27" s="10" t="s">
        <v>125</v>
      </c>
      <c r="J27" s="9">
        <v>1</v>
      </c>
      <c r="K27" s="9"/>
    </row>
    <row r="28" spans="1:11">
      <c r="A28" s="2"/>
      <c r="B28" s="7">
        <f t="shared" si="0"/>
        <v>26</v>
      </c>
      <c r="C28" s="8" t="s">
        <v>112</v>
      </c>
      <c r="D28" s="11" t="s">
        <v>126</v>
      </c>
      <c r="E28" s="12" t="s">
        <v>127</v>
      </c>
      <c r="F28" s="11" t="s">
        <v>128</v>
      </c>
      <c r="G28" s="12" t="s">
        <v>129</v>
      </c>
      <c r="H28" s="11" t="s">
        <v>130</v>
      </c>
      <c r="I28" s="12" t="s">
        <v>131</v>
      </c>
      <c r="J28" s="11">
        <v>1</v>
      </c>
      <c r="K28" s="11"/>
    </row>
    <row r="29" spans="1:11" ht="24">
      <c r="A29" s="2"/>
      <c r="B29" s="7">
        <f t="shared" si="0"/>
        <v>27</v>
      </c>
      <c r="C29" s="8" t="s">
        <v>132</v>
      </c>
      <c r="D29" s="9" t="s">
        <v>133</v>
      </c>
      <c r="E29" s="10" t="s">
        <v>134</v>
      </c>
      <c r="F29" s="9" t="s">
        <v>135</v>
      </c>
      <c r="G29" s="10" t="s">
        <v>136</v>
      </c>
      <c r="H29" s="9" t="s">
        <v>137</v>
      </c>
      <c r="I29" s="10" t="s">
        <v>138</v>
      </c>
      <c r="J29" s="9">
        <v>2</v>
      </c>
      <c r="K29" s="9"/>
    </row>
    <row r="30" spans="1:11" ht="24">
      <c r="A30" s="2"/>
      <c r="B30" s="7">
        <f t="shared" si="0"/>
        <v>28</v>
      </c>
      <c r="C30" s="13" t="s">
        <v>132</v>
      </c>
      <c r="D30" s="11" t="s">
        <v>139</v>
      </c>
      <c r="E30" s="12" t="s">
        <v>140</v>
      </c>
      <c r="F30" s="11" t="s">
        <v>135</v>
      </c>
      <c r="G30" s="12" t="s">
        <v>141</v>
      </c>
      <c r="H30" s="11" t="s">
        <v>137</v>
      </c>
      <c r="I30" s="12" t="s">
        <v>142</v>
      </c>
      <c r="J30" s="11">
        <v>1</v>
      </c>
      <c r="K30" s="11"/>
    </row>
    <row r="31" spans="1:11" ht="24">
      <c r="A31" s="2"/>
      <c r="B31" s="7">
        <f t="shared" si="0"/>
        <v>29</v>
      </c>
      <c r="C31" s="8" t="s">
        <v>104</v>
      </c>
      <c r="D31" s="9" t="s">
        <v>143</v>
      </c>
      <c r="E31" s="10" t="s">
        <v>144</v>
      </c>
      <c r="F31" s="9" t="s">
        <v>145</v>
      </c>
      <c r="G31" s="10" t="s">
        <v>146</v>
      </c>
      <c r="H31" s="9" t="s">
        <v>147</v>
      </c>
      <c r="I31" s="14" t="s">
        <v>109</v>
      </c>
      <c r="J31" s="9">
        <v>1</v>
      </c>
      <c r="K31" s="9"/>
    </row>
    <row r="32" spans="1:11" ht="24">
      <c r="A32" s="2"/>
      <c r="B32" s="7">
        <f t="shared" si="0"/>
        <v>30</v>
      </c>
      <c r="C32" s="8" t="s">
        <v>104</v>
      </c>
      <c r="D32" s="11" t="s">
        <v>148</v>
      </c>
      <c r="E32" s="12" t="s">
        <v>149</v>
      </c>
      <c r="F32" s="11" t="s">
        <v>150</v>
      </c>
      <c r="G32" s="12" t="s">
        <v>151</v>
      </c>
      <c r="H32" s="11" t="s">
        <v>147</v>
      </c>
      <c r="I32" s="14" t="s">
        <v>109</v>
      </c>
      <c r="J32" s="11">
        <v>1</v>
      </c>
      <c r="K32" s="11"/>
    </row>
    <row r="33" spans="1:11">
      <c r="A33" s="2"/>
      <c r="B33" s="7">
        <f t="shared" si="0"/>
        <v>31</v>
      </c>
      <c r="C33" s="8" t="s">
        <v>104</v>
      </c>
      <c r="D33" s="9" t="s">
        <v>152</v>
      </c>
      <c r="E33" s="10" t="s">
        <v>153</v>
      </c>
      <c r="F33" s="9" t="s">
        <v>154</v>
      </c>
      <c r="G33" s="9" t="s">
        <v>155</v>
      </c>
      <c r="H33" s="9" t="s">
        <v>156</v>
      </c>
      <c r="I33" s="14" t="s">
        <v>109</v>
      </c>
      <c r="J33" s="9">
        <v>1</v>
      </c>
      <c r="K33" s="9"/>
    </row>
    <row r="34" spans="1:11" ht="24">
      <c r="A34" s="2"/>
      <c r="B34" s="7">
        <f t="shared" si="0"/>
        <v>32</v>
      </c>
      <c r="C34" s="8" t="s">
        <v>104</v>
      </c>
      <c r="D34" s="11" t="s">
        <v>157</v>
      </c>
      <c r="E34" s="12" t="s">
        <v>158</v>
      </c>
      <c r="F34" s="11" t="s">
        <v>159</v>
      </c>
      <c r="G34" s="12" t="s">
        <v>160</v>
      </c>
      <c r="H34" s="11" t="s">
        <v>161</v>
      </c>
      <c r="I34" s="14" t="s">
        <v>109</v>
      </c>
      <c r="J34" s="11">
        <v>1</v>
      </c>
      <c r="K34" s="11"/>
    </row>
    <row r="35" spans="1:11">
      <c r="A35" s="2"/>
      <c r="B35" s="7">
        <f t="shared" ref="B35:B66" si="1">ROW(B35)-ROW($B$2)</f>
        <v>33</v>
      </c>
      <c r="C35" s="13" t="s">
        <v>162</v>
      </c>
      <c r="D35" s="9" t="s">
        <v>163</v>
      </c>
      <c r="E35" s="10" t="s">
        <v>164</v>
      </c>
      <c r="F35" s="9" t="s">
        <v>165</v>
      </c>
      <c r="G35" s="10"/>
      <c r="H35" s="9"/>
      <c r="I35" s="14" t="s">
        <v>109</v>
      </c>
      <c r="J35" s="9">
        <v>1</v>
      </c>
      <c r="K35" s="9"/>
    </row>
    <row r="36" spans="1:11">
      <c r="A36" s="2"/>
      <c r="B36" s="7">
        <f t="shared" si="1"/>
        <v>34</v>
      </c>
      <c r="C36" s="13" t="s">
        <v>162</v>
      </c>
      <c r="D36" s="11" t="s">
        <v>166</v>
      </c>
      <c r="E36" s="12" t="s">
        <v>167</v>
      </c>
      <c r="F36" s="11" t="s">
        <v>168</v>
      </c>
      <c r="G36" s="12" t="s">
        <v>169</v>
      </c>
      <c r="H36" s="11" t="s">
        <v>170</v>
      </c>
      <c r="I36" s="14" t="s">
        <v>109</v>
      </c>
      <c r="J36" s="11">
        <v>2</v>
      </c>
      <c r="K36" s="11"/>
    </row>
    <row r="37" spans="1:11" ht="36">
      <c r="A37" s="2"/>
      <c r="B37" s="7">
        <f t="shared" si="1"/>
        <v>35</v>
      </c>
      <c r="C37" s="8" t="s">
        <v>171</v>
      </c>
      <c r="D37" s="19" t="s">
        <v>172</v>
      </c>
      <c r="E37" s="20" t="s">
        <v>173</v>
      </c>
      <c r="F37" s="19" t="s">
        <v>174</v>
      </c>
      <c r="G37" s="20" t="s">
        <v>175</v>
      </c>
      <c r="H37" s="19" t="s">
        <v>102</v>
      </c>
      <c r="I37" s="20" t="s">
        <v>176</v>
      </c>
      <c r="J37" s="19">
        <v>1</v>
      </c>
      <c r="K37" s="21" t="s">
        <v>277</v>
      </c>
    </row>
    <row r="38" spans="1:11">
      <c r="A38" s="2"/>
      <c r="B38" s="7">
        <f t="shared" si="1"/>
        <v>36</v>
      </c>
      <c r="C38" s="8" t="s">
        <v>171</v>
      </c>
      <c r="D38" s="11" t="s">
        <v>177</v>
      </c>
      <c r="E38" s="12" t="s">
        <v>178</v>
      </c>
      <c r="F38" s="11" t="s">
        <v>18</v>
      </c>
      <c r="G38" s="12" t="s">
        <v>179</v>
      </c>
      <c r="H38" s="11" t="s">
        <v>180</v>
      </c>
      <c r="I38" s="12" t="s">
        <v>181</v>
      </c>
      <c r="J38" s="11">
        <v>1</v>
      </c>
      <c r="K38" s="11"/>
    </row>
    <row r="39" spans="1:11">
      <c r="A39" s="2"/>
      <c r="B39" s="7">
        <f t="shared" si="1"/>
        <v>37</v>
      </c>
      <c r="C39" s="8" t="s">
        <v>171</v>
      </c>
      <c r="D39" s="9" t="s">
        <v>182</v>
      </c>
      <c r="E39" s="10" t="s">
        <v>183</v>
      </c>
      <c r="F39" s="9" t="s">
        <v>18</v>
      </c>
      <c r="G39" s="10" t="s">
        <v>184</v>
      </c>
      <c r="H39" s="9" t="s">
        <v>185</v>
      </c>
      <c r="I39" s="10" t="s">
        <v>186</v>
      </c>
      <c r="J39" s="9">
        <v>1</v>
      </c>
      <c r="K39" s="9"/>
    </row>
    <row r="40" spans="1:11">
      <c r="A40" s="2"/>
      <c r="B40" s="7">
        <f t="shared" si="1"/>
        <v>38</v>
      </c>
      <c r="C40" s="8" t="s">
        <v>171</v>
      </c>
      <c r="D40" s="11" t="s">
        <v>187</v>
      </c>
      <c r="E40" s="12" t="s">
        <v>188</v>
      </c>
      <c r="F40" s="11" t="s">
        <v>18</v>
      </c>
      <c r="G40" s="12" t="s">
        <v>189</v>
      </c>
      <c r="H40" s="11" t="s">
        <v>190</v>
      </c>
      <c r="I40" s="12" t="s">
        <v>191</v>
      </c>
      <c r="J40" s="11">
        <v>4</v>
      </c>
      <c r="K40" s="11"/>
    </row>
    <row r="41" spans="1:11">
      <c r="A41" s="2"/>
      <c r="B41" s="7">
        <f t="shared" si="1"/>
        <v>39</v>
      </c>
      <c r="C41" s="8" t="s">
        <v>171</v>
      </c>
      <c r="D41" s="9" t="s">
        <v>192</v>
      </c>
      <c r="E41" s="10" t="s">
        <v>193</v>
      </c>
      <c r="F41" s="9" t="s">
        <v>18</v>
      </c>
      <c r="G41" s="10" t="s">
        <v>194</v>
      </c>
      <c r="H41" s="9" t="s">
        <v>102</v>
      </c>
      <c r="I41" s="10" t="s">
        <v>195</v>
      </c>
      <c r="J41" s="9">
        <v>1</v>
      </c>
      <c r="K41" s="9"/>
    </row>
    <row r="42" spans="1:11" ht="24">
      <c r="A42" s="2"/>
      <c r="B42" s="7">
        <f t="shared" si="1"/>
        <v>40</v>
      </c>
      <c r="C42" s="8" t="s">
        <v>171</v>
      </c>
      <c r="D42" s="11" t="s">
        <v>196</v>
      </c>
      <c r="E42" s="12" t="s">
        <v>197</v>
      </c>
      <c r="F42" s="11" t="s">
        <v>18</v>
      </c>
      <c r="G42" s="12" t="s">
        <v>198</v>
      </c>
      <c r="H42" s="11" t="s">
        <v>180</v>
      </c>
      <c r="I42" s="12" t="s">
        <v>199</v>
      </c>
      <c r="J42" s="11">
        <v>13</v>
      </c>
      <c r="K42" s="11"/>
    </row>
    <row r="43" spans="1:11">
      <c r="A43" s="2"/>
      <c r="B43" s="7">
        <f t="shared" si="1"/>
        <v>41</v>
      </c>
      <c r="C43" s="8" t="s">
        <v>171</v>
      </c>
      <c r="D43" s="9" t="s">
        <v>200</v>
      </c>
      <c r="E43" s="10" t="s">
        <v>201</v>
      </c>
      <c r="F43" s="9" t="s">
        <v>174</v>
      </c>
      <c r="G43" s="10" t="s">
        <v>202</v>
      </c>
      <c r="H43" s="9" t="s">
        <v>102</v>
      </c>
      <c r="I43" s="10" t="s">
        <v>203</v>
      </c>
      <c r="J43" s="9">
        <v>4</v>
      </c>
      <c r="K43" s="9"/>
    </row>
    <row r="44" spans="1:11">
      <c r="A44" s="2"/>
      <c r="B44" s="7">
        <f t="shared" si="1"/>
        <v>42</v>
      </c>
      <c r="C44" s="8" t="s">
        <v>171</v>
      </c>
      <c r="D44" s="11" t="s">
        <v>204</v>
      </c>
      <c r="E44" s="12" t="s">
        <v>205</v>
      </c>
      <c r="F44" s="11" t="s">
        <v>174</v>
      </c>
      <c r="G44" s="12" t="s">
        <v>206</v>
      </c>
      <c r="H44" s="11" t="s">
        <v>102</v>
      </c>
      <c r="I44" s="12" t="s">
        <v>207</v>
      </c>
      <c r="J44" s="11">
        <v>1</v>
      </c>
      <c r="K44" s="11"/>
    </row>
    <row r="45" spans="1:11">
      <c r="A45" s="2"/>
      <c r="B45" s="7">
        <f t="shared" si="1"/>
        <v>43</v>
      </c>
      <c r="C45" s="8" t="s">
        <v>171</v>
      </c>
      <c r="D45" s="9" t="s">
        <v>208</v>
      </c>
      <c r="E45" s="10" t="s">
        <v>209</v>
      </c>
      <c r="F45" s="9" t="s">
        <v>174</v>
      </c>
      <c r="G45" s="10" t="s">
        <v>210</v>
      </c>
      <c r="H45" s="9" t="s">
        <v>185</v>
      </c>
      <c r="I45" s="10" t="s">
        <v>211</v>
      </c>
      <c r="J45" s="9">
        <v>1</v>
      </c>
      <c r="K45" s="9"/>
    </row>
    <row r="46" spans="1:11">
      <c r="A46" s="2"/>
      <c r="B46" s="7">
        <f t="shared" si="1"/>
        <v>44</v>
      </c>
      <c r="C46" s="8" t="s">
        <v>171</v>
      </c>
      <c r="D46" s="11" t="s">
        <v>212</v>
      </c>
      <c r="E46" s="12" t="s">
        <v>213</v>
      </c>
      <c r="F46" s="11" t="s">
        <v>174</v>
      </c>
      <c r="G46" s="12"/>
      <c r="H46" s="11"/>
      <c r="I46" s="12" t="s">
        <v>214</v>
      </c>
      <c r="J46" s="11">
        <v>1</v>
      </c>
      <c r="K46" s="11"/>
    </row>
    <row r="47" spans="1:11" ht="24">
      <c r="A47" s="2"/>
      <c r="B47" s="7">
        <f t="shared" si="1"/>
        <v>45</v>
      </c>
      <c r="C47" s="8" t="s">
        <v>171</v>
      </c>
      <c r="D47" s="9" t="s">
        <v>215</v>
      </c>
      <c r="E47" s="10" t="s">
        <v>216</v>
      </c>
      <c r="F47" s="9" t="s">
        <v>174</v>
      </c>
      <c r="G47" s="10" t="s">
        <v>184</v>
      </c>
      <c r="H47" s="9" t="s">
        <v>185</v>
      </c>
      <c r="I47" s="10" t="s">
        <v>186</v>
      </c>
      <c r="J47" s="9">
        <v>2</v>
      </c>
      <c r="K47" s="9"/>
    </row>
    <row r="48" spans="1:11" ht="36">
      <c r="A48" s="2"/>
      <c r="B48" s="7">
        <f t="shared" si="1"/>
        <v>46</v>
      </c>
      <c r="C48" s="8" t="s">
        <v>171</v>
      </c>
      <c r="D48" s="11" t="s">
        <v>217</v>
      </c>
      <c r="E48" s="12" t="s">
        <v>218</v>
      </c>
      <c r="F48" s="11" t="s">
        <v>18</v>
      </c>
      <c r="G48" s="12" t="s">
        <v>219</v>
      </c>
      <c r="H48" s="11" t="s">
        <v>102</v>
      </c>
      <c r="I48" s="12">
        <v>220</v>
      </c>
      <c r="J48" s="11">
        <v>1</v>
      </c>
      <c r="K48" s="11"/>
    </row>
    <row r="49" spans="1:11" ht="24">
      <c r="A49" s="2"/>
      <c r="B49" s="7">
        <f t="shared" si="1"/>
        <v>47</v>
      </c>
      <c r="C49" s="8" t="s">
        <v>171</v>
      </c>
      <c r="D49" s="9" t="s">
        <v>220</v>
      </c>
      <c r="E49" s="10" t="s">
        <v>221</v>
      </c>
      <c r="F49" s="9" t="s">
        <v>222</v>
      </c>
      <c r="G49" s="10" t="s">
        <v>223</v>
      </c>
      <c r="H49" s="9" t="s">
        <v>180</v>
      </c>
      <c r="I49" s="10" t="s">
        <v>224</v>
      </c>
      <c r="J49" s="9">
        <v>1</v>
      </c>
      <c r="K49" s="9"/>
    </row>
    <row r="50" spans="1:11">
      <c r="A50" s="2"/>
      <c r="B50" s="7">
        <f t="shared" si="1"/>
        <v>48</v>
      </c>
      <c r="C50" s="8" t="s">
        <v>171</v>
      </c>
      <c r="D50" s="11" t="s">
        <v>225</v>
      </c>
      <c r="E50" s="12" t="s">
        <v>226</v>
      </c>
      <c r="F50" s="11" t="s">
        <v>227</v>
      </c>
      <c r="G50" s="12" t="s">
        <v>228</v>
      </c>
      <c r="H50" s="11" t="s">
        <v>102</v>
      </c>
      <c r="I50" s="12" t="s">
        <v>229</v>
      </c>
      <c r="J50" s="11">
        <v>1</v>
      </c>
      <c r="K50" s="11"/>
    </row>
    <row r="51" spans="1:11">
      <c r="A51" s="2"/>
      <c r="B51" s="7">
        <f t="shared" si="1"/>
        <v>49</v>
      </c>
      <c r="C51" s="8" t="s">
        <v>171</v>
      </c>
      <c r="D51" s="9" t="s">
        <v>230</v>
      </c>
      <c r="E51" s="10" t="s">
        <v>231</v>
      </c>
      <c r="F51" s="9" t="s">
        <v>18</v>
      </c>
      <c r="G51" s="10" t="s">
        <v>232</v>
      </c>
      <c r="H51" s="9" t="s">
        <v>233</v>
      </c>
      <c r="I51" s="10" t="s">
        <v>234</v>
      </c>
      <c r="J51" s="9">
        <v>1</v>
      </c>
      <c r="K51" s="9"/>
    </row>
    <row r="52" spans="1:11">
      <c r="A52" s="2"/>
      <c r="B52" s="7">
        <f t="shared" si="1"/>
        <v>50</v>
      </c>
      <c r="C52" s="8" t="s">
        <v>171</v>
      </c>
      <c r="D52" s="11" t="s">
        <v>235</v>
      </c>
      <c r="E52" s="12" t="s">
        <v>236</v>
      </c>
      <c r="F52" s="11" t="s">
        <v>18</v>
      </c>
      <c r="G52" s="12" t="s">
        <v>237</v>
      </c>
      <c r="H52" s="11" t="s">
        <v>233</v>
      </c>
      <c r="I52" s="12" t="s">
        <v>238</v>
      </c>
      <c r="J52" s="11">
        <v>1</v>
      </c>
      <c r="K52" s="11"/>
    </row>
    <row r="53" spans="1:11">
      <c r="A53" s="2"/>
      <c r="B53" s="7">
        <f t="shared" si="1"/>
        <v>51</v>
      </c>
      <c r="C53" s="8" t="s">
        <v>171</v>
      </c>
      <c r="D53" s="9" t="s">
        <v>239</v>
      </c>
      <c r="E53" s="10" t="s">
        <v>240</v>
      </c>
      <c r="F53" s="9" t="s">
        <v>241</v>
      </c>
      <c r="G53" s="10" t="s">
        <v>242</v>
      </c>
      <c r="H53" s="9" t="s">
        <v>102</v>
      </c>
      <c r="I53" s="10" t="s">
        <v>243</v>
      </c>
      <c r="J53" s="9">
        <v>1</v>
      </c>
      <c r="K53" s="9"/>
    </row>
    <row r="54" spans="1:11">
      <c r="A54" s="2"/>
      <c r="B54" s="7">
        <f t="shared" si="1"/>
        <v>52</v>
      </c>
      <c r="C54" s="8" t="s">
        <v>171</v>
      </c>
      <c r="D54" s="11" t="s">
        <v>244</v>
      </c>
      <c r="E54" s="12" t="s">
        <v>245</v>
      </c>
      <c r="F54" s="11" t="s">
        <v>227</v>
      </c>
      <c r="G54" s="12" t="s">
        <v>246</v>
      </c>
      <c r="H54" s="11" t="s">
        <v>102</v>
      </c>
      <c r="I54" s="12" t="s">
        <v>247</v>
      </c>
      <c r="J54" s="11">
        <v>1</v>
      </c>
      <c r="K54" s="11"/>
    </row>
    <row r="55" spans="1:11">
      <c r="A55" s="2"/>
      <c r="B55" s="7">
        <f t="shared" si="1"/>
        <v>53</v>
      </c>
      <c r="C55" s="8" t="s">
        <v>171</v>
      </c>
      <c r="D55" s="9" t="s">
        <v>248</v>
      </c>
      <c r="E55" s="10" t="s">
        <v>249</v>
      </c>
      <c r="F55" s="9" t="s">
        <v>250</v>
      </c>
      <c r="G55" s="10" t="s">
        <v>251</v>
      </c>
      <c r="H55" s="9" t="s">
        <v>102</v>
      </c>
      <c r="I55" s="10" t="s">
        <v>252</v>
      </c>
      <c r="J55" s="9">
        <v>2</v>
      </c>
      <c r="K55" s="9"/>
    </row>
    <row r="56" spans="1:11">
      <c r="A56" s="2"/>
      <c r="B56" s="7">
        <f t="shared" si="1"/>
        <v>54</v>
      </c>
      <c r="C56" s="8" t="s">
        <v>171</v>
      </c>
      <c r="D56" s="11" t="s">
        <v>253</v>
      </c>
      <c r="E56" s="12" t="s">
        <v>254</v>
      </c>
      <c r="F56" s="11" t="s">
        <v>241</v>
      </c>
      <c r="G56" s="12" t="s">
        <v>255</v>
      </c>
      <c r="H56" s="11" t="s">
        <v>102</v>
      </c>
      <c r="I56" s="12" t="s">
        <v>176</v>
      </c>
      <c r="J56" s="11">
        <v>4</v>
      </c>
      <c r="K56" s="11"/>
    </row>
    <row r="57" spans="1:11">
      <c r="A57" s="2"/>
      <c r="B57" s="7">
        <f t="shared" si="1"/>
        <v>55</v>
      </c>
      <c r="C57" s="8" t="s">
        <v>171</v>
      </c>
      <c r="D57" s="9" t="s">
        <v>256</v>
      </c>
      <c r="E57" s="10" t="s">
        <v>257</v>
      </c>
      <c r="F57" s="9" t="s">
        <v>241</v>
      </c>
      <c r="G57" s="10" t="s">
        <v>258</v>
      </c>
      <c r="H57" s="9" t="s">
        <v>102</v>
      </c>
      <c r="I57" s="10" t="s">
        <v>259</v>
      </c>
      <c r="J57" s="9">
        <v>3</v>
      </c>
      <c r="K57" s="9"/>
    </row>
    <row r="58" spans="1:11">
      <c r="A58" s="2"/>
      <c r="B58" s="7">
        <f t="shared" si="1"/>
        <v>56</v>
      </c>
      <c r="C58" s="8" t="s">
        <v>171</v>
      </c>
      <c r="D58" s="11" t="s">
        <v>260</v>
      </c>
      <c r="E58" s="12" t="s">
        <v>261</v>
      </c>
      <c r="F58" s="11" t="s">
        <v>250</v>
      </c>
      <c r="G58" s="12" t="s">
        <v>262</v>
      </c>
      <c r="H58" s="11" t="s">
        <v>102</v>
      </c>
      <c r="I58" s="12" t="s">
        <v>263</v>
      </c>
      <c r="J58" s="11">
        <v>1</v>
      </c>
      <c r="K58" s="11"/>
    </row>
    <row r="59" spans="1:11" ht="24">
      <c r="A59" s="2"/>
      <c r="B59" s="7">
        <f t="shared" si="1"/>
        <v>57</v>
      </c>
      <c r="C59" s="8" t="s">
        <v>171</v>
      </c>
      <c r="D59" s="9" t="s">
        <v>264</v>
      </c>
      <c r="E59" s="10" t="s">
        <v>265</v>
      </c>
      <c r="F59" s="9" t="s">
        <v>227</v>
      </c>
      <c r="G59" s="10" t="s">
        <v>266</v>
      </c>
      <c r="H59" s="9" t="s">
        <v>102</v>
      </c>
      <c r="I59" s="10" t="s">
        <v>267</v>
      </c>
      <c r="J59" s="9">
        <v>1</v>
      </c>
      <c r="K59" s="9"/>
    </row>
    <row r="60" spans="1:11">
      <c r="A60" s="2"/>
      <c r="B60" s="7">
        <f t="shared" si="1"/>
        <v>58</v>
      </c>
      <c r="C60" s="8" t="s">
        <v>171</v>
      </c>
      <c r="D60" s="11" t="s">
        <v>268</v>
      </c>
      <c r="E60" s="12" t="s">
        <v>269</v>
      </c>
      <c r="F60" s="11" t="s">
        <v>241</v>
      </c>
      <c r="G60" s="12" t="s">
        <v>270</v>
      </c>
      <c r="H60" s="11" t="s">
        <v>102</v>
      </c>
      <c r="I60" s="12" t="s">
        <v>271</v>
      </c>
      <c r="J60" s="11">
        <v>1</v>
      </c>
      <c r="K60" s="11"/>
    </row>
    <row r="61" spans="1:11">
      <c r="A61" s="2"/>
      <c r="B61" s="7">
        <f t="shared" si="1"/>
        <v>59</v>
      </c>
      <c r="C61" s="8" t="s">
        <v>171</v>
      </c>
      <c r="D61" s="9" t="s">
        <v>272</v>
      </c>
      <c r="E61" s="10" t="s">
        <v>273</v>
      </c>
      <c r="F61" s="9" t="s">
        <v>241</v>
      </c>
      <c r="G61" s="10" t="s">
        <v>274</v>
      </c>
      <c r="H61" s="9" t="s">
        <v>102</v>
      </c>
      <c r="I61" s="10" t="s">
        <v>275</v>
      </c>
      <c r="J61" s="9">
        <v>1</v>
      </c>
      <c r="K61" s="9"/>
    </row>
    <row r="62" spans="1:11">
      <c r="A62" s="2"/>
      <c r="B62" s="7">
        <f t="shared" si="1"/>
        <v>60</v>
      </c>
      <c r="C62" s="8" t="s">
        <v>171</v>
      </c>
      <c r="D62" s="17" t="s">
        <v>276</v>
      </c>
      <c r="E62" s="16" t="s">
        <v>254</v>
      </c>
      <c r="F62" s="17" t="s">
        <v>241</v>
      </c>
      <c r="G62" s="16" t="s">
        <v>255</v>
      </c>
      <c r="H62" s="17" t="s">
        <v>102</v>
      </c>
      <c r="I62" s="16" t="s">
        <v>277</v>
      </c>
      <c r="J62" s="17">
        <v>1</v>
      </c>
      <c r="K62" s="18" t="s">
        <v>277</v>
      </c>
    </row>
    <row r="63" spans="1:11">
      <c r="A63" s="2"/>
      <c r="B63" s="7">
        <f t="shared" si="1"/>
        <v>61</v>
      </c>
      <c r="C63" s="8" t="s">
        <v>278</v>
      </c>
      <c r="D63" s="9" t="s">
        <v>279</v>
      </c>
      <c r="E63" s="10" t="s">
        <v>280</v>
      </c>
      <c r="F63" s="9" t="s">
        <v>281</v>
      </c>
      <c r="G63" s="10" t="s">
        <v>282</v>
      </c>
      <c r="H63" s="9" t="s">
        <v>161</v>
      </c>
      <c r="I63" s="10" t="s">
        <v>109</v>
      </c>
      <c r="J63" s="9">
        <v>1</v>
      </c>
      <c r="K63" s="9"/>
    </row>
    <row r="64" spans="1:11" ht="36">
      <c r="A64" s="2"/>
      <c r="B64" s="7">
        <f t="shared" si="1"/>
        <v>62</v>
      </c>
      <c r="C64" s="13" t="s">
        <v>283</v>
      </c>
      <c r="D64" s="11" t="s">
        <v>284</v>
      </c>
      <c r="E64" s="12" t="s">
        <v>285</v>
      </c>
      <c r="F64" s="11" t="s">
        <v>165</v>
      </c>
      <c r="G64" s="12" t="s">
        <v>286</v>
      </c>
      <c r="H64" s="11" t="s">
        <v>287</v>
      </c>
      <c r="I64" s="10" t="s">
        <v>109</v>
      </c>
      <c r="J64" s="11">
        <v>1</v>
      </c>
      <c r="K64" s="11"/>
    </row>
    <row r="65" spans="1:11" ht="24">
      <c r="A65" s="2"/>
      <c r="B65" s="7">
        <f t="shared" si="1"/>
        <v>63</v>
      </c>
      <c r="C65" s="13" t="s">
        <v>283</v>
      </c>
      <c r="D65" s="9" t="s">
        <v>288</v>
      </c>
      <c r="E65" s="10" t="s">
        <v>289</v>
      </c>
      <c r="F65" s="9" t="s">
        <v>290</v>
      </c>
      <c r="G65" s="10" t="s">
        <v>291</v>
      </c>
      <c r="H65" s="9" t="s">
        <v>292</v>
      </c>
      <c r="I65" s="10" t="s">
        <v>109</v>
      </c>
      <c r="J65" s="9">
        <v>1</v>
      </c>
      <c r="K65" s="9"/>
    </row>
    <row r="66" spans="1:11" ht="24">
      <c r="A66" s="2"/>
      <c r="B66" s="7">
        <f t="shared" si="1"/>
        <v>64</v>
      </c>
      <c r="C66" s="13" t="s">
        <v>283</v>
      </c>
      <c r="D66" s="11" t="s">
        <v>293</v>
      </c>
      <c r="E66" s="12" t="s">
        <v>294</v>
      </c>
      <c r="F66" s="11" t="s">
        <v>295</v>
      </c>
      <c r="G66" s="12" t="s">
        <v>295</v>
      </c>
      <c r="H66" s="11" t="s">
        <v>156</v>
      </c>
      <c r="I66" s="10" t="s">
        <v>109</v>
      </c>
      <c r="J66" s="11">
        <v>1</v>
      </c>
      <c r="K66" s="11"/>
    </row>
    <row r="67" spans="1:11">
      <c r="A67" s="2"/>
      <c r="B67" s="7">
        <f t="shared" ref="B67:B72" si="2">ROW(B67)-ROW($B$2)</f>
        <v>65</v>
      </c>
      <c r="C67" s="13" t="s">
        <v>283</v>
      </c>
      <c r="D67" s="9" t="s">
        <v>296</v>
      </c>
      <c r="E67" s="10" t="s">
        <v>297</v>
      </c>
      <c r="F67" s="9" t="s">
        <v>298</v>
      </c>
      <c r="G67" s="10" t="s">
        <v>299</v>
      </c>
      <c r="H67" s="9" t="s">
        <v>300</v>
      </c>
      <c r="I67" s="10" t="s">
        <v>109</v>
      </c>
      <c r="J67" s="9">
        <v>1</v>
      </c>
      <c r="K67" s="9"/>
    </row>
    <row r="68" spans="1:11" ht="24">
      <c r="A68" s="2"/>
      <c r="B68" s="7">
        <f t="shared" si="2"/>
        <v>66</v>
      </c>
      <c r="C68" s="13" t="s">
        <v>283</v>
      </c>
      <c r="D68" s="11" t="s">
        <v>301</v>
      </c>
      <c r="E68" s="12" t="s">
        <v>302</v>
      </c>
      <c r="F68" s="11" t="s">
        <v>303</v>
      </c>
      <c r="G68" s="12" t="s">
        <v>304</v>
      </c>
      <c r="H68" s="11" t="s">
        <v>300</v>
      </c>
      <c r="I68" s="10" t="s">
        <v>109</v>
      </c>
      <c r="J68" s="11">
        <v>1</v>
      </c>
      <c r="K68" s="11"/>
    </row>
    <row r="69" spans="1:11" ht="24">
      <c r="A69" s="2"/>
      <c r="B69" s="7">
        <f t="shared" si="2"/>
        <v>67</v>
      </c>
      <c r="C69" s="13" t="s">
        <v>283</v>
      </c>
      <c r="D69" s="9" t="s">
        <v>305</v>
      </c>
      <c r="E69" s="10" t="s">
        <v>306</v>
      </c>
      <c r="F69" s="9" t="s">
        <v>307</v>
      </c>
      <c r="G69" s="10" t="s">
        <v>308</v>
      </c>
      <c r="H69" s="9" t="s">
        <v>309</v>
      </c>
      <c r="I69" s="10" t="s">
        <v>109</v>
      </c>
      <c r="J69" s="9">
        <v>1</v>
      </c>
      <c r="K69" s="9"/>
    </row>
    <row r="70" spans="1:11" ht="24">
      <c r="A70" s="2"/>
      <c r="B70" s="7">
        <f t="shared" si="2"/>
        <v>68</v>
      </c>
      <c r="C70" s="13" t="s">
        <v>310</v>
      </c>
      <c r="D70" s="11" t="s">
        <v>311</v>
      </c>
      <c r="E70" s="12" t="s">
        <v>312</v>
      </c>
      <c r="F70" s="11" t="s">
        <v>313</v>
      </c>
      <c r="G70" s="12" t="s">
        <v>314</v>
      </c>
      <c r="H70" s="11" t="s">
        <v>315</v>
      </c>
      <c r="I70" s="12" t="s">
        <v>316</v>
      </c>
      <c r="J70" s="11">
        <v>1</v>
      </c>
      <c r="K70" s="11"/>
    </row>
    <row r="71" spans="1:11">
      <c r="A71" s="2"/>
      <c r="B71" s="7">
        <f t="shared" si="2"/>
        <v>69</v>
      </c>
      <c r="C71" s="13" t="s">
        <v>310</v>
      </c>
      <c r="D71" s="9" t="s">
        <v>317</v>
      </c>
      <c r="E71" s="10" t="s">
        <v>318</v>
      </c>
      <c r="F71" s="9" t="s">
        <v>319</v>
      </c>
      <c r="G71" s="10" t="s">
        <v>320</v>
      </c>
      <c r="H71" s="9" t="s">
        <v>26</v>
      </c>
      <c r="I71" s="10" t="s">
        <v>321</v>
      </c>
      <c r="J71" s="9">
        <v>1</v>
      </c>
      <c r="K71" s="9"/>
    </row>
    <row r="72" spans="1:11" ht="36">
      <c r="A72" s="2"/>
      <c r="B72" s="7">
        <f t="shared" si="2"/>
        <v>70</v>
      </c>
      <c r="C72" s="13" t="s">
        <v>310</v>
      </c>
      <c r="D72" s="11" t="s">
        <v>322</v>
      </c>
      <c r="E72" s="12" t="s">
        <v>323</v>
      </c>
      <c r="F72" s="11" t="s">
        <v>324</v>
      </c>
      <c r="G72" s="12" t="s">
        <v>325</v>
      </c>
      <c r="H72" s="11" t="s">
        <v>326</v>
      </c>
      <c r="I72" s="12" t="s">
        <v>109</v>
      </c>
      <c r="J72" s="11">
        <v>1</v>
      </c>
      <c r="K72" s="11"/>
    </row>
  </sheetData>
  <mergeCells count="1">
    <mergeCell ref="I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2025-01-10T14:08:01Z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2C71D96F09154AA7AD1DB200FF29171F_13</vt:lpwstr>
  </property>
  <property fmtid="{D5CDD505-2E9C-101B-9397-08002B2CF9AE}" pid="3" name="KSOProductBuildVer">
    <vt:lpwstr>1033-12.2.0.19805</vt:lpwstr>
  </property>
</Properties>
</file>